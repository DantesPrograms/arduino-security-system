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6" documentId="11_00B6D76C640058495BE2FF55071D1B81F6903F5E" xr6:coauthVersionLast="47" xr6:coauthVersionMax="47" xr10:uidLastSave="{06D87B26-8B14-4C28-AB64-C0E9BA7F9F8C}"/>
  <bookViews>
    <workbookView xWindow="0" yWindow="0" windowWidth="16384" windowHeight="8192" tabRatio="500" xr2:uid="{00000000-000D-0000-FFFF-FFFF00000000}"/>
  </bookViews>
  <sheets>
    <sheet name="Test Results Log" sheetId="1" r:id="rId1"/>
    <sheet name="Instruction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50" i="1" l="1"/>
</calcChain>
</file>

<file path=xl/sharedStrings.xml><?xml version="1.0" encoding="utf-8"?>
<sst xmlns="http://schemas.openxmlformats.org/spreadsheetml/2006/main" count="301" uniqueCount="254">
  <si>
    <t>Arduino R4 WiFi Security System - Test Results Log</t>
  </si>
  <si>
    <r>
      <rPr>
        <b/>
        <i/>
        <sz val="11"/>
        <color rgb="FF000000"/>
        <rFont val="Cambria"/>
      </rPr>
      <t>Test Date:</t>
    </r>
    <r>
      <rPr>
        <i/>
        <sz val="11"/>
        <color rgb="FF000000"/>
        <rFont val="Cambria"/>
      </rPr>
      <t xml:space="preserve"> 2026-01-30</t>
    </r>
  </si>
  <si>
    <r>
      <rPr>
        <b/>
        <i/>
        <sz val="11"/>
        <color rgb="FF000000"/>
        <rFont val="Cambria"/>
      </rPr>
      <t>Tester:</t>
    </r>
    <r>
      <rPr>
        <i/>
        <sz val="11"/>
        <color rgb="FF000000"/>
        <rFont val="Cambria"/>
      </rPr>
      <t xml:space="preserve"> Dante D'Abramo</t>
    </r>
  </si>
  <si>
    <r>
      <rPr>
        <b/>
        <i/>
        <sz val="11"/>
        <color rgb="FF000000"/>
        <rFont val="Cambria"/>
      </rPr>
      <t>Arduino Board:</t>
    </r>
    <r>
      <rPr>
        <i/>
        <sz val="11"/>
        <color rgb="FF000000"/>
        <rFont val="Cambria"/>
      </rPr>
      <t xml:space="preserve"> UNO R4 WiFi</t>
    </r>
  </si>
  <si>
    <t>Test ID</t>
  </si>
  <si>
    <t>Test Category</t>
  </si>
  <si>
    <t>Test Case Description</t>
  </si>
  <si>
    <t>Prerequisites</t>
  </si>
  <si>
    <t>Test Steps</t>
  </si>
  <si>
    <t>Expected Result</t>
  </si>
  <si>
    <t>Actual Result</t>
  </si>
  <si>
    <t>Status</t>
  </si>
  <si>
    <t>Notes</t>
  </si>
  <si>
    <t>Timestamp</t>
  </si>
  <si>
    <t>HW-001</t>
  </si>
  <si>
    <t>Hardware</t>
  </si>
  <si>
    <t>Power-Up Sequence</t>
  </si>
  <si>
    <t>All components connected</t>
  </si>
  <si>
    <t>Connect USB power and observe LEDs</t>
  </si>
  <si>
    <t>System boots, Serial output visible, all LEDs off initially</t>
  </si>
  <si>
    <t>Serial baud: 115200</t>
  </si>
  <si>
    <t>HW-002</t>
  </si>
  <si>
    <t>PIR Sensor Power</t>
  </si>
  <si>
    <t>System powered on</t>
  </si>
  <si>
    <t>Check PIR sensor LED indicator</t>
  </si>
  <si>
    <t>PIR sensor LED illuminated</t>
  </si>
  <si>
    <t>Wait 60s for stabilization</t>
  </si>
  <si>
    <t>HW-003</t>
  </si>
  <si>
    <t>Status LED Connection</t>
  </si>
  <si>
    <t>System DISARMED</t>
  </si>
  <si>
    <t>ARM system via web interface</t>
  </si>
  <si>
    <t>Status LED (D8) turns ON</t>
  </si>
  <si>
    <t>3mm LED illuminates</t>
  </si>
  <si>
    <t>HW-004</t>
  </si>
  <si>
    <t>Alarm LED Connection</t>
  </si>
  <si>
    <t>System ARMED</t>
  </si>
  <si>
    <t>Trigger PIR sensor with motion</t>
  </si>
  <si>
    <t>Alarm LED (D9) turns ON</t>
  </si>
  <si>
    <t>5mm red LED illuminates</t>
  </si>
  <si>
    <t>HW-005</t>
  </si>
  <si>
    <t>Buzzer Function</t>
  </si>
  <si>
    <t>Buzzer sounds with 500ms pulse pattern</t>
  </si>
  <si>
    <t>Audible alarm confirmed</t>
  </si>
  <si>
    <t>NET-001</t>
  </si>
  <si>
    <t>Network</t>
  </si>
  <si>
    <t>WiFi Connection</t>
  </si>
  <si>
    <t>WiFi credentials configured</t>
  </si>
  <si>
    <t>Power on Arduino and check Serial Monitor</t>
  </si>
  <si>
    <t>Connects to WiFi within 15 seconds</t>
  </si>
  <si>
    <t>Network: 2.4GHz WPA2</t>
  </si>
  <si>
    <t>NET-002</t>
  </si>
  <si>
    <t>IP Address Assignment</t>
  </si>
  <si>
    <t>Connected to WiFi</t>
  </si>
  <si>
    <t>Check Serial Monitor for IP address</t>
  </si>
  <si>
    <t>Valid IP address displayed (192.168.x.x)</t>
  </si>
  <si>
    <t>IP obtained via DHCP</t>
  </si>
  <si>
    <t>NET-003</t>
  </si>
  <si>
    <t>Web Server Start</t>
  </si>
  <si>
    <t>WiFi connected</t>
  </si>
  <si>
    <t>Check Serial Monitor for server status</t>
  </si>
  <si>
    <t>"Web server started" message appears</t>
  </si>
  <si>
    <t>Port 80 listening</t>
  </si>
  <si>
    <t>NET-004</t>
  </si>
  <si>
    <t>WiFi Reconnection</t>
  </si>
  <si>
    <t>System running</t>
  </si>
  <si>
    <t>Restart router and wait</t>
  </si>
  <si>
    <t>System attempts reconnection</t>
  </si>
  <si>
    <t>Need to test recovery</t>
  </si>
  <si>
    <t>WEB-001</t>
  </si>
  <si>
    <t>Web UI</t>
  </si>
  <si>
    <t>Login Page Load</t>
  </si>
  <si>
    <t>System accessible on network</t>
  </si>
  <si>
    <t>Navigate to IP in browser</t>
  </si>
  <si>
    <t>Login page displays with PIN entry field</t>
  </si>
  <si>
    <t>Tested: Chrome, Firefox</t>
  </si>
  <si>
    <t>WEB-002</t>
  </si>
  <si>
    <t>Valid PIN Authentication</t>
  </si>
  <si>
    <t>On login page</t>
  </si>
  <si>
    <t>Enter correct PIN (0421) and submit</t>
  </si>
  <si>
    <t>Redirects to control dashboard</t>
  </si>
  <si>
    <t>Session cookie set</t>
  </si>
  <si>
    <t>WEB-003</t>
  </si>
  <si>
    <t>Invalid PIN Rejection</t>
  </si>
  <si>
    <t>Enter incorrect PIN and submit</t>
  </si>
  <si>
    <t>Error message displayed, login denied</t>
  </si>
  <si>
    <t>"Incorrect PIN" message</t>
  </si>
  <si>
    <t>WEB-004</t>
  </si>
  <si>
    <t>Dashboard Display</t>
  </si>
  <si>
    <t>Successfully logged in</t>
  </si>
  <si>
    <t>Observe dashboard elements</t>
  </si>
  <si>
    <t>Shows system state, ARM/DISARM buttons, info panel</t>
  </si>
  <si>
    <t>Auto-refresh every 3s</t>
  </si>
  <si>
    <t>WEB-005</t>
  </si>
  <si>
    <t>Session Timeout</t>
  </si>
  <si>
    <t>Logged in</t>
  </si>
  <si>
    <t>Wait 30 minutes without interaction</t>
  </si>
  <si>
    <t>Session expires, redirected to login</t>
  </si>
  <si>
    <t>Long test duration</t>
  </si>
  <si>
    <t>WEB-006</t>
  </si>
  <si>
    <t>Logout Function</t>
  </si>
  <si>
    <t>Click LOGOUT button</t>
  </si>
  <si>
    <t>Session cleared, redirected to login</t>
  </si>
  <si>
    <t>Session cookie removed</t>
  </si>
  <si>
    <t>WEB-007</t>
  </si>
  <si>
    <t>Mobile Responsiveness</t>
  </si>
  <si>
    <t>Access from mobile device</t>
  </si>
  <si>
    <t>Interface scales properly for mobile screen</t>
  </si>
  <si>
    <t>Tested: iPhone, Android</t>
  </si>
  <si>
    <t>SYS-001</t>
  </si>
  <si>
    <t>Function</t>
  </si>
  <si>
    <t>ARM System Command</t>
  </si>
  <si>
    <t>System DISARMED, logged in</t>
  </si>
  <si>
    <t>Click ARM SYSTEM button</t>
  </si>
  <si>
    <t>Status LED ON, state shows ARMED</t>
  </si>
  <si>
    <t>Immediate response</t>
  </si>
  <si>
    <t>SYS-002</t>
  </si>
  <si>
    <t>DISARM System Command</t>
  </si>
  <si>
    <t>System ARMED, logged in</t>
  </si>
  <si>
    <t>Click DISARM SYSTEM button</t>
  </si>
  <si>
    <t>All outputs OFF, state shows DISARMED</t>
  </si>
  <si>
    <t>Alarm stops immediately</t>
  </si>
  <si>
    <t>SYS-003</t>
  </si>
  <si>
    <t>Motion Detection</t>
  </si>
  <si>
    <t>System ARMED, PIR stabilized</t>
  </si>
  <si>
    <t>Wave hand 1m from PIR sensor</t>
  </si>
  <si>
    <t>Alarm triggers within 2 seconds</t>
  </si>
  <si>
    <t>Detection distance: 1-5m</t>
  </si>
  <si>
    <t>SYS-004</t>
  </si>
  <si>
    <t>Alarm Persistence</t>
  </si>
  <si>
    <t>Alarm triggered</t>
  </si>
  <si>
    <t>Wait 5 minutes without disarming</t>
  </si>
  <si>
    <t>Alarm continues indefinitely</t>
  </si>
  <si>
    <t>No auto-timeout</t>
  </si>
  <si>
    <t>SYS-005</t>
  </si>
  <si>
    <t>State Transitions</t>
  </si>
  <si>
    <t>Test DISARMED→ARMED→ALARM→DISARMED</t>
  </si>
  <si>
    <t>All transitions work correctly</t>
  </si>
  <si>
    <t>Full state machine tested</t>
  </si>
  <si>
    <t>SYS-006</t>
  </si>
  <si>
    <t>PIR False Positives</t>
  </si>
  <si>
    <t>Observe for 10 min with no motion</t>
  </si>
  <si>
    <t>No false alarms triggered</t>
  </si>
  <si>
    <t>Stable operation</t>
  </si>
  <si>
    <t>SEC-001</t>
  </si>
  <si>
    <t>Security</t>
  </si>
  <si>
    <t>Unauthorized Access Prevention</t>
  </si>
  <si>
    <t>Not logged in</t>
  </si>
  <si>
    <t>Try accessing /arm or /disarm directly</t>
  </si>
  <si>
    <t>Returns 401 Unauthorized</t>
  </si>
  <si>
    <t>Auth required for control</t>
  </si>
  <si>
    <t>SEC-002</t>
  </si>
  <si>
    <t>Brute Force Resistance</t>
  </si>
  <si>
    <t>Attempt 10 incorrect PINs rapidly</t>
  </si>
  <si>
    <t>All attempts processed (no lockout)</t>
  </si>
  <si>
    <t>Note: No rate limiting</t>
  </si>
  <si>
    <t>SEC-003</t>
  </si>
  <si>
    <t>Session Token Validation</t>
  </si>
  <si>
    <t>Modify session cookie and refresh</t>
  </si>
  <si>
    <t>Redirected to login page</t>
  </si>
  <si>
    <t>Invalid tokens rejected</t>
  </si>
  <si>
    <t>API-001</t>
  </si>
  <si>
    <t>API</t>
  </si>
  <si>
    <t>GET /status Endpoint</t>
  </si>
  <si>
    <t>Access /status via curl with session</t>
  </si>
  <si>
    <t>Returns JSON with state and motion</t>
  </si>
  <si>
    <t>Correct JSON format</t>
  </si>
  <si>
    <t>API-002</t>
  </si>
  <si>
    <t>POST /arm Endpoint</t>
  </si>
  <si>
    <t>POST to /arm with session</t>
  </si>
  <si>
    <t>System arms, returns 303 redirect</t>
  </si>
  <si>
    <t>State change confirmed</t>
  </si>
  <si>
    <t>API-003</t>
  </si>
  <si>
    <t>POST /disarm Endpoint</t>
  </si>
  <si>
    <t>POST to /disarm with session</t>
  </si>
  <si>
    <t>System disarms, returns 303 redirect</t>
  </si>
  <si>
    <t>Alarm stops</t>
  </si>
  <si>
    <t>EDGE-001</t>
  </si>
  <si>
    <t>Edge Case</t>
  </si>
  <si>
    <t>Rapid ARM/DISARM Cycling</t>
  </si>
  <si>
    <t>ARM and DISARM 10 times rapidly</t>
  </si>
  <si>
    <t>System handles all requests correctly</t>
  </si>
  <si>
    <t>No crashes or hangs</t>
  </si>
  <si>
    <t>EDGE-002</t>
  </si>
  <si>
    <t>Motion During Disarm</t>
  </si>
  <si>
    <t>Alarm active</t>
  </si>
  <si>
    <t>Trigger PIR while disarming</t>
  </si>
  <si>
    <t>System disarms, ignores new motion</t>
  </si>
  <si>
    <t>Clean state transition</t>
  </si>
  <si>
    <t>EDGE-003</t>
  </si>
  <si>
    <t>Power Loss Recovery</t>
  </si>
  <si>
    <t>Disconnect and reconnect power</t>
  </si>
  <si>
    <t>Boots to DISARMED state</t>
  </si>
  <si>
    <t>Safe default state</t>
  </si>
  <si>
    <t>EDGE-004</t>
  </si>
  <si>
    <t>Weak WiFi Signal</t>
  </si>
  <si>
    <t>System far from router</t>
  </si>
  <si>
    <t>Operate with 1-2 bars signal</t>
  </si>
  <si>
    <t>Increased latency but functional</t>
  </si>
  <si>
    <t>Web requests slower</t>
  </si>
  <si>
    <t>PERF-001</t>
  </si>
  <si>
    <t>Performance</t>
  </si>
  <si>
    <t>PIR Response Time</t>
  </si>
  <si>
    <t>Measure time from motion to alarm</t>
  </si>
  <si>
    <t>Average: 1.2 seconds</t>
  </si>
  <si>
    <t>PERF-002</t>
  </si>
  <si>
    <t>Web Page Load Time</t>
  </si>
  <si>
    <t>Measure dashboard load time</t>
  </si>
  <si>
    <t>Page loads within 1 second</t>
  </si>
  <si>
    <t>Local network speed</t>
  </si>
  <si>
    <t>PERF-003</t>
  </si>
  <si>
    <t>ARM Command Latency</t>
  </si>
  <si>
    <t>Measure ARM button click to LED ON</t>
  </si>
  <si>
    <t>Status LED responds within 500ms</t>
  </si>
  <si>
    <t>Nearly instant</t>
  </si>
  <si>
    <t>PERF-004</t>
  </si>
  <si>
    <t>System Uptime</t>
  </si>
  <si>
    <t>Monitor for 24 hours continuous</t>
  </si>
  <si>
    <t>No crashes or memory issues</t>
  </si>
  <si>
    <t>Long-term test needed</t>
  </si>
  <si>
    <t>Test Summary:</t>
  </si>
  <si>
    <t>Total Tests:</t>
  </si>
  <si>
    <t>Passed:</t>
  </si>
  <si>
    <t>Failed:</t>
  </si>
  <si>
    <t>Pending:</t>
  </si>
  <si>
    <t>Pass Rate:</t>
  </si>
  <si>
    <t>Test Results Log - Instructions</t>
  </si>
  <si>
    <t>How to Use This Log:</t>
  </si>
  <si>
    <t>1. Update "Test Date" and "Tester" fields on the main sheet</t>
  </si>
  <si>
    <t>2. For each test, fill in the "Actual Result" column (G) with observed behavior</t>
  </si>
  <si>
    <t>3. Update the "Status" column (H) with: Pass, Fail, or Pending</t>
  </si>
  <si>
    <t>4. Add any relevant observations in the "Notes" column (I)</t>
  </si>
  <si>
    <t>5. Record test timestamp in column J (optional)</t>
  </si>
  <si>
    <t>Status Color Coding:</t>
  </si>
  <si>
    <t xml:space="preserve">  • Green = Pass (test met expected results)</t>
  </si>
  <si>
    <t xml:space="preserve">  • Red = Fail (test did not meet expected results)</t>
  </si>
  <si>
    <t xml:space="preserve">  • Yellow = Pending (test not yet completed)</t>
  </si>
  <si>
    <t>Test Categories:</t>
  </si>
  <si>
    <t xml:space="preserve">  • Hardware - Physical component tests</t>
  </si>
  <si>
    <t xml:space="preserve">  • Network - WiFi connectivity tests</t>
  </si>
  <si>
    <t xml:space="preserve">  • Web UI - User interface tests</t>
  </si>
  <si>
    <t xml:space="preserve">  • Function - Core system functionality</t>
  </si>
  <si>
    <t xml:space="preserve">  • Security - Authentication and access control</t>
  </si>
  <si>
    <t xml:space="preserve">  • API - RESTful endpoint tests</t>
  </si>
  <si>
    <t xml:space="preserve">  • Edge Case - Unusual scenarios</t>
  </si>
  <si>
    <t xml:space="preserve">  • Performance - Speed and efficiency</t>
  </si>
  <si>
    <t>Summary Statistics:</t>
  </si>
  <si>
    <t xml:space="preserve">  • Automatically calculated at bottom of main sheet</t>
  </si>
  <si>
    <t xml:space="preserve">  • Shows total tests, passed, failed, pending, and pass rate</t>
  </si>
  <si>
    <t>Tips:</t>
  </si>
  <si>
    <t xml:space="preserve">  • Complete hardware tests first before software tests</t>
  </si>
  <si>
    <t xml:space="preserve">  • Wait 60 seconds for PIR sensor stabilization</t>
  </si>
  <si>
    <t xml:space="preserve">  • Document any unexpected behavior in Notes column</t>
  </si>
  <si>
    <t xml:space="preserve">  • Take photos/screenshots for visual documentation</t>
  </si>
  <si>
    <t xml:space="preserve">  • Re-run failed tests after fixes to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</si>
</sst>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b/>
      <sz val="11"/>
      <color rgb="FF006100"/>
      <name val="Cambria"/>
      <charset val="1"/>
    </font>
    <font>
      <b/>
      <sz val="11"/>
      <color rgb="FF9C6500"/>
      <name val="Cambria"/>
      <charset val="1"/>
    </font>
    <font>
      <b/>
      <sz val="11"/>
      <name val="Cambria"/>
      <charset val="1"/>
    </font>
    <font>
      <b/>
      <sz val="11"/>
      <color rgb="FF9C0006"/>
      <name val="Cambria"/>
      <charset val="1"/>
    </font>
    <font>
      <sz val="18"/>
      <color theme="3"/>
      <name val="Calibri"/>
      <scheme val="major"/>
    </font>
    <font>
      <b/>
      <sz val="11"/>
      <color rgb="FF3F3F3F"/>
      <name val="Calibri"/>
      <scheme val="minor"/>
    </font>
    <font>
      <b/>
      <i/>
      <sz val="11"/>
      <color rgb="FF000000"/>
      <name val="Cambria"/>
    </font>
    <font>
      <i/>
      <sz val="11"/>
      <color rgb="FF000000"/>
      <name val="Cambria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8" fillId="6" borderId="2" applyNumberFormat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5" fillId="0" borderId="0" xfId="0" applyFont="1"/>
    <xf numFmtId="0" fontId="3" fillId="3" borderId="0" xfId="0" applyFont="1" applyFill="1"/>
    <xf numFmtId="0" fontId="6" fillId="5" borderId="0" xfId="0" applyFont="1" applyFill="1"/>
    <xf numFmtId="0" fontId="4" fillId="4" borderId="0" xfId="0" applyFont="1" applyFill="1"/>
    <xf numFmtId="164" fontId="5" fillId="0" borderId="0" xfId="0" applyNumberFormat="1" applyFont="1"/>
    <xf numFmtId="0" fontId="1" fillId="0" borderId="0" xfId="0" applyFont="1"/>
    <xf numFmtId="0" fontId="7" fillId="0" borderId="0" xfId="2" applyBorder="1" applyAlignment="1">
      <alignment horizontal="left"/>
    </xf>
    <xf numFmtId="0" fontId="10" fillId="0" borderId="0" xfId="0" applyFont="1"/>
    <xf numFmtId="0" fontId="8" fillId="6" borderId="2" xfId="1" applyAlignment="1">
      <alignment vertical="top" wrapText="1"/>
    </xf>
  </cellXfs>
  <cellStyles count="3">
    <cellStyle name="Normal" xfId="0" builtinId="0"/>
    <cellStyle name="Output" xfId="1" builtinId="21"/>
    <cellStyle name="Title" xfId="2" builtinId="1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12" zoomScaleNormal="100" workbookViewId="0">
      <selection activeCell="C19" sqref="C19"/>
    </sheetView>
  </sheetViews>
  <sheetFormatPr defaultColWidth="8.7109375" defaultRowHeight="15"/>
  <cols>
    <col min="1" max="1" width="10" customWidth="1"/>
    <col min="2" max="2" width="12" customWidth="1"/>
    <col min="3" max="3" width="30" customWidth="1"/>
    <col min="4" max="4" width="25" customWidth="1"/>
    <col min="5" max="7" width="35" customWidth="1"/>
    <col min="8" max="8" width="10" customWidth="1"/>
    <col min="9" max="9" width="25" customWidth="1"/>
    <col min="10" max="10" width="12" customWidth="1"/>
  </cols>
  <sheetData>
    <row r="1" spans="1:10" ht="23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0" t="s">
        <v>1</v>
      </c>
    </row>
    <row r="3" spans="1:10">
      <c r="A3" s="10" t="s">
        <v>2</v>
      </c>
    </row>
    <row r="4" spans="1:10">
      <c r="A4" s="10" t="s">
        <v>3</v>
      </c>
    </row>
    <row r="6" spans="1:10" ht="29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ht="30.75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/>
      <c r="H7" s="11"/>
      <c r="I7" s="2" t="s">
        <v>20</v>
      </c>
      <c r="J7" s="2"/>
    </row>
    <row r="8" spans="1:10">
      <c r="A8" s="2" t="s">
        <v>21</v>
      </c>
      <c r="B8" s="2" t="s">
        <v>15</v>
      </c>
      <c r="C8" s="2" t="s">
        <v>22</v>
      </c>
      <c r="D8" s="2" t="s">
        <v>23</v>
      </c>
      <c r="E8" s="2" t="s">
        <v>24</v>
      </c>
      <c r="F8" s="2" t="s">
        <v>25</v>
      </c>
      <c r="G8" s="2"/>
      <c r="H8" s="11"/>
      <c r="I8" s="2" t="s">
        <v>26</v>
      </c>
      <c r="J8" s="2"/>
    </row>
    <row r="9" spans="1:10">
      <c r="A9" s="2" t="s">
        <v>27</v>
      </c>
      <c r="B9" s="2" t="s">
        <v>15</v>
      </c>
      <c r="C9" s="2" t="s">
        <v>28</v>
      </c>
      <c r="D9" s="2" t="s">
        <v>29</v>
      </c>
      <c r="E9" s="2" t="s">
        <v>30</v>
      </c>
      <c r="F9" s="2" t="s">
        <v>31</v>
      </c>
      <c r="G9" s="2"/>
      <c r="H9" s="11"/>
      <c r="I9" s="2" t="s">
        <v>32</v>
      </c>
      <c r="J9" s="2"/>
    </row>
    <row r="10" spans="1:10">
      <c r="A10" s="2" t="s">
        <v>33</v>
      </c>
      <c r="B10" s="2" t="s">
        <v>15</v>
      </c>
      <c r="C10" s="2" t="s">
        <v>34</v>
      </c>
      <c r="D10" s="2" t="s">
        <v>35</v>
      </c>
      <c r="E10" s="2" t="s">
        <v>36</v>
      </c>
      <c r="F10" s="2" t="s">
        <v>37</v>
      </c>
      <c r="G10" s="2"/>
      <c r="H10" s="11"/>
      <c r="I10" s="2" t="s">
        <v>38</v>
      </c>
      <c r="J10" s="2"/>
    </row>
    <row r="11" spans="1:10" ht="30.75">
      <c r="A11" s="2" t="s">
        <v>39</v>
      </c>
      <c r="B11" s="2" t="s">
        <v>15</v>
      </c>
      <c r="C11" s="2" t="s">
        <v>40</v>
      </c>
      <c r="D11" s="2" t="s">
        <v>35</v>
      </c>
      <c r="E11" s="2" t="s">
        <v>36</v>
      </c>
      <c r="F11" s="2" t="s">
        <v>41</v>
      </c>
      <c r="G11" s="2"/>
      <c r="H11" s="11"/>
      <c r="I11" s="2" t="s">
        <v>42</v>
      </c>
      <c r="J11" s="2"/>
    </row>
    <row r="12" spans="1:10" ht="30.7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/>
      <c r="H12" s="11"/>
      <c r="I12" s="2" t="s">
        <v>49</v>
      </c>
      <c r="J12" s="2"/>
    </row>
    <row r="13" spans="1:10">
      <c r="A13" s="2" t="s">
        <v>50</v>
      </c>
      <c r="B13" s="2" t="s">
        <v>44</v>
      </c>
      <c r="C13" s="2" t="s">
        <v>51</v>
      </c>
      <c r="D13" s="2" t="s">
        <v>52</v>
      </c>
      <c r="E13" s="2" t="s">
        <v>53</v>
      </c>
      <c r="F13" s="2" t="s">
        <v>54</v>
      </c>
      <c r="G13" s="2"/>
      <c r="H13" s="11"/>
      <c r="I13" s="2" t="s">
        <v>55</v>
      </c>
      <c r="J13" s="2"/>
    </row>
    <row r="14" spans="1:10">
      <c r="A14" s="2" t="s">
        <v>56</v>
      </c>
      <c r="B14" s="2" t="s">
        <v>44</v>
      </c>
      <c r="C14" s="2" t="s">
        <v>57</v>
      </c>
      <c r="D14" s="2" t="s">
        <v>58</v>
      </c>
      <c r="E14" s="2" t="s">
        <v>59</v>
      </c>
      <c r="F14" s="2" t="s">
        <v>60</v>
      </c>
      <c r="G14" s="2"/>
      <c r="H14" s="11"/>
      <c r="I14" s="2" t="s">
        <v>61</v>
      </c>
      <c r="J14" s="2"/>
    </row>
    <row r="15" spans="1:10">
      <c r="A15" s="2" t="s">
        <v>62</v>
      </c>
      <c r="B15" s="2" t="s">
        <v>44</v>
      </c>
      <c r="C15" s="2" t="s">
        <v>63</v>
      </c>
      <c r="D15" s="2" t="s">
        <v>64</v>
      </c>
      <c r="E15" s="2" t="s">
        <v>65</v>
      </c>
      <c r="F15" s="2" t="s">
        <v>66</v>
      </c>
      <c r="G15" s="2"/>
      <c r="H15" s="11"/>
      <c r="I15" s="2" t="s">
        <v>67</v>
      </c>
      <c r="J15" s="2"/>
    </row>
    <row r="16" spans="1:10" ht="30.7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/>
      <c r="H16" s="11"/>
      <c r="I16" s="2" t="s">
        <v>74</v>
      </c>
      <c r="J16" s="2"/>
    </row>
    <row r="17" spans="1:10">
      <c r="A17" s="2" t="s">
        <v>75</v>
      </c>
      <c r="B17" s="2" t="s">
        <v>69</v>
      </c>
      <c r="C17" s="2" t="s">
        <v>76</v>
      </c>
      <c r="D17" s="2" t="s">
        <v>77</v>
      </c>
      <c r="E17" s="2" t="s">
        <v>78</v>
      </c>
      <c r="F17" s="2" t="s">
        <v>79</v>
      </c>
      <c r="G17" s="2"/>
      <c r="H17" s="11"/>
      <c r="I17" s="2" t="s">
        <v>80</v>
      </c>
      <c r="J17" s="2"/>
    </row>
    <row r="18" spans="1:10">
      <c r="A18" s="2" t="s">
        <v>81</v>
      </c>
      <c r="B18" s="2" t="s">
        <v>69</v>
      </c>
      <c r="C18" s="2" t="s">
        <v>82</v>
      </c>
      <c r="D18" s="2" t="s">
        <v>77</v>
      </c>
      <c r="E18" s="2" t="s">
        <v>83</v>
      </c>
      <c r="F18" s="2" t="s">
        <v>84</v>
      </c>
      <c r="G18" s="2"/>
      <c r="H18" s="11"/>
      <c r="I18" s="2" t="s">
        <v>85</v>
      </c>
      <c r="J18" s="2"/>
    </row>
    <row r="19" spans="1:10" ht="30.75">
      <c r="A19" s="2" t="s">
        <v>86</v>
      </c>
      <c r="B19" s="2" t="s">
        <v>69</v>
      </c>
      <c r="C19" s="2" t="s">
        <v>87</v>
      </c>
      <c r="D19" s="2" t="s">
        <v>88</v>
      </c>
      <c r="E19" s="2" t="s">
        <v>89</v>
      </c>
      <c r="F19" s="2" t="s">
        <v>90</v>
      </c>
      <c r="G19" s="2"/>
      <c r="H19" s="11"/>
      <c r="I19" s="2" t="s">
        <v>91</v>
      </c>
      <c r="J19" s="2"/>
    </row>
    <row r="20" spans="1:10">
      <c r="A20" s="2" t="s">
        <v>92</v>
      </c>
      <c r="B20" s="2" t="s">
        <v>69</v>
      </c>
      <c r="C20" s="2" t="s">
        <v>93</v>
      </c>
      <c r="D20" s="2" t="s">
        <v>94</v>
      </c>
      <c r="E20" s="2" t="s">
        <v>95</v>
      </c>
      <c r="F20" s="2" t="s">
        <v>96</v>
      </c>
      <c r="G20" s="2"/>
      <c r="H20" s="11"/>
      <c r="I20" s="2" t="s">
        <v>97</v>
      </c>
      <c r="J20" s="2"/>
    </row>
    <row r="21" spans="1:10">
      <c r="A21" s="2" t="s">
        <v>98</v>
      </c>
      <c r="B21" s="2" t="s">
        <v>69</v>
      </c>
      <c r="C21" s="2" t="s">
        <v>99</v>
      </c>
      <c r="D21" s="2" t="s">
        <v>94</v>
      </c>
      <c r="E21" s="2" t="s">
        <v>100</v>
      </c>
      <c r="F21" s="2" t="s">
        <v>101</v>
      </c>
      <c r="G21" s="2"/>
      <c r="H21" s="11"/>
      <c r="I21" s="2" t="s">
        <v>102</v>
      </c>
      <c r="J21" s="2"/>
    </row>
    <row r="22" spans="1:10" ht="30.75">
      <c r="A22" s="2" t="s">
        <v>103</v>
      </c>
      <c r="B22" s="2" t="s">
        <v>69</v>
      </c>
      <c r="C22" s="2" t="s">
        <v>104</v>
      </c>
      <c r="D22" s="2" t="s">
        <v>94</v>
      </c>
      <c r="E22" s="2" t="s">
        <v>105</v>
      </c>
      <c r="F22" s="2" t="s">
        <v>106</v>
      </c>
      <c r="G22" s="2"/>
      <c r="H22" s="11"/>
      <c r="I22" s="2" t="s">
        <v>107</v>
      </c>
      <c r="J22" s="2"/>
    </row>
    <row r="23" spans="1:10" ht="30.75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/>
      <c r="H23" s="11"/>
      <c r="I23" s="2" t="s">
        <v>114</v>
      </c>
      <c r="J23" s="2"/>
    </row>
    <row r="24" spans="1:10">
      <c r="A24" s="2" t="s">
        <v>115</v>
      </c>
      <c r="B24" s="2" t="s">
        <v>109</v>
      </c>
      <c r="C24" s="2" t="s">
        <v>116</v>
      </c>
      <c r="D24" s="2" t="s">
        <v>117</v>
      </c>
      <c r="E24" s="2" t="s">
        <v>118</v>
      </c>
      <c r="F24" s="2" t="s">
        <v>119</v>
      </c>
      <c r="G24" s="2"/>
      <c r="H24" s="11"/>
      <c r="I24" s="2" t="s">
        <v>120</v>
      </c>
      <c r="J24" s="2"/>
    </row>
    <row r="25" spans="1:10" ht="30.75">
      <c r="A25" s="2" t="s">
        <v>121</v>
      </c>
      <c r="B25" s="2" t="s">
        <v>109</v>
      </c>
      <c r="C25" s="2" t="s">
        <v>122</v>
      </c>
      <c r="D25" s="2" t="s">
        <v>123</v>
      </c>
      <c r="E25" s="2" t="s">
        <v>124</v>
      </c>
      <c r="F25" s="2" t="s">
        <v>125</v>
      </c>
      <c r="G25" s="2"/>
      <c r="H25" s="11"/>
      <c r="I25" s="2" t="s">
        <v>126</v>
      </c>
      <c r="J25" s="2"/>
    </row>
    <row r="26" spans="1:10">
      <c r="A26" s="2" t="s">
        <v>127</v>
      </c>
      <c r="B26" s="2" t="s">
        <v>109</v>
      </c>
      <c r="C26" s="2" t="s">
        <v>128</v>
      </c>
      <c r="D26" s="2" t="s">
        <v>129</v>
      </c>
      <c r="E26" s="2" t="s">
        <v>130</v>
      </c>
      <c r="F26" s="2" t="s">
        <v>131</v>
      </c>
      <c r="G26" s="2"/>
      <c r="H26" s="11"/>
      <c r="I26" s="2" t="s">
        <v>132</v>
      </c>
      <c r="J26" s="2"/>
    </row>
    <row r="27" spans="1:10" ht="45.75">
      <c r="A27" s="2" t="s">
        <v>133</v>
      </c>
      <c r="B27" s="2" t="s">
        <v>109</v>
      </c>
      <c r="C27" s="2" t="s">
        <v>134</v>
      </c>
      <c r="D27" s="2" t="s">
        <v>23</v>
      </c>
      <c r="E27" s="2" t="s">
        <v>135</v>
      </c>
      <c r="F27" s="2" t="s">
        <v>136</v>
      </c>
      <c r="G27" s="2"/>
      <c r="H27" s="11"/>
      <c r="I27" s="2" t="s">
        <v>137</v>
      </c>
      <c r="J27" s="2"/>
    </row>
    <row r="28" spans="1:10">
      <c r="A28" s="2" t="s">
        <v>138</v>
      </c>
      <c r="B28" s="2" t="s">
        <v>109</v>
      </c>
      <c r="C28" s="2" t="s">
        <v>139</v>
      </c>
      <c r="D28" s="2" t="s">
        <v>35</v>
      </c>
      <c r="E28" s="2" t="s">
        <v>140</v>
      </c>
      <c r="F28" s="2" t="s">
        <v>141</v>
      </c>
      <c r="G28" s="2"/>
      <c r="H28" s="11"/>
      <c r="I28" s="2" t="s">
        <v>142</v>
      </c>
      <c r="J28" s="2"/>
    </row>
    <row r="29" spans="1:10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148</v>
      </c>
      <c r="G29" s="2"/>
      <c r="H29" s="11"/>
      <c r="I29" s="2" t="s">
        <v>149</v>
      </c>
      <c r="J29" s="2"/>
    </row>
    <row r="30" spans="1:10">
      <c r="A30" s="2" t="s">
        <v>150</v>
      </c>
      <c r="B30" s="2" t="s">
        <v>144</v>
      </c>
      <c r="C30" s="2" t="s">
        <v>151</v>
      </c>
      <c r="D30" s="2" t="s">
        <v>77</v>
      </c>
      <c r="E30" s="2" t="s">
        <v>152</v>
      </c>
      <c r="F30" s="2" t="s">
        <v>153</v>
      </c>
      <c r="G30" s="2"/>
      <c r="H30" s="11"/>
      <c r="I30" s="2" t="s">
        <v>154</v>
      </c>
      <c r="J30" s="2"/>
    </row>
    <row r="31" spans="1:10">
      <c r="A31" s="2" t="s">
        <v>155</v>
      </c>
      <c r="B31" s="2" t="s">
        <v>144</v>
      </c>
      <c r="C31" s="2" t="s">
        <v>156</v>
      </c>
      <c r="D31" s="2" t="s">
        <v>94</v>
      </c>
      <c r="E31" s="2" t="s">
        <v>157</v>
      </c>
      <c r="F31" s="2" t="s">
        <v>158</v>
      </c>
      <c r="G31" s="2"/>
      <c r="H31" s="11"/>
      <c r="I31" s="2" t="s">
        <v>159</v>
      </c>
      <c r="J31" s="2"/>
    </row>
    <row r="32" spans="1:10">
      <c r="A32" s="2" t="s">
        <v>160</v>
      </c>
      <c r="B32" s="2" t="s">
        <v>161</v>
      </c>
      <c r="C32" s="2" t="s">
        <v>162</v>
      </c>
      <c r="D32" s="2" t="s">
        <v>94</v>
      </c>
      <c r="E32" s="2" t="s">
        <v>163</v>
      </c>
      <c r="F32" s="2" t="s">
        <v>164</v>
      </c>
      <c r="G32" s="2"/>
      <c r="H32" s="11"/>
      <c r="I32" s="2" t="s">
        <v>165</v>
      </c>
      <c r="J32" s="2"/>
    </row>
    <row r="33" spans="1:10">
      <c r="A33" s="2" t="s">
        <v>166</v>
      </c>
      <c r="B33" s="2" t="s">
        <v>161</v>
      </c>
      <c r="C33" s="2" t="s">
        <v>167</v>
      </c>
      <c r="D33" s="2" t="s">
        <v>94</v>
      </c>
      <c r="E33" s="2" t="s">
        <v>168</v>
      </c>
      <c r="F33" s="2" t="s">
        <v>169</v>
      </c>
      <c r="G33" s="2"/>
      <c r="H33" s="11"/>
      <c r="I33" s="2" t="s">
        <v>170</v>
      </c>
      <c r="J33" s="2"/>
    </row>
    <row r="34" spans="1:10">
      <c r="A34" s="2" t="s">
        <v>171</v>
      </c>
      <c r="B34" s="2" t="s">
        <v>161</v>
      </c>
      <c r="C34" s="2" t="s">
        <v>172</v>
      </c>
      <c r="D34" s="2" t="s">
        <v>94</v>
      </c>
      <c r="E34" s="2" t="s">
        <v>173</v>
      </c>
      <c r="F34" s="2" t="s">
        <v>174</v>
      </c>
      <c r="G34" s="2"/>
      <c r="H34" s="11"/>
      <c r="I34" s="2" t="s">
        <v>175</v>
      </c>
      <c r="J34" s="2"/>
    </row>
    <row r="35" spans="1:10">
      <c r="A35" s="2" t="s">
        <v>176</v>
      </c>
      <c r="B35" s="2" t="s">
        <v>177</v>
      </c>
      <c r="C35" s="2" t="s">
        <v>178</v>
      </c>
      <c r="D35" s="2" t="s">
        <v>94</v>
      </c>
      <c r="E35" s="2" t="s">
        <v>179</v>
      </c>
      <c r="F35" s="2" t="s">
        <v>180</v>
      </c>
      <c r="G35" s="2"/>
      <c r="H35" s="11"/>
      <c r="I35" s="2" t="s">
        <v>181</v>
      </c>
      <c r="J35" s="2"/>
    </row>
    <row r="36" spans="1:10">
      <c r="A36" s="2" t="s">
        <v>182</v>
      </c>
      <c r="B36" s="2" t="s">
        <v>177</v>
      </c>
      <c r="C36" s="2" t="s">
        <v>183</v>
      </c>
      <c r="D36" s="2" t="s">
        <v>184</v>
      </c>
      <c r="E36" s="2" t="s">
        <v>185</v>
      </c>
      <c r="F36" s="2" t="s">
        <v>186</v>
      </c>
      <c r="G36" s="2"/>
      <c r="H36" s="11"/>
      <c r="I36" s="2" t="s">
        <v>187</v>
      </c>
      <c r="J36" s="2"/>
    </row>
    <row r="37" spans="1:10">
      <c r="A37" s="2" t="s">
        <v>188</v>
      </c>
      <c r="B37" s="2" t="s">
        <v>177</v>
      </c>
      <c r="C37" s="2" t="s">
        <v>189</v>
      </c>
      <c r="D37" s="2" t="s">
        <v>64</v>
      </c>
      <c r="E37" s="2" t="s">
        <v>190</v>
      </c>
      <c r="F37" s="2" t="s">
        <v>191</v>
      </c>
      <c r="G37" s="2"/>
      <c r="H37" s="11"/>
      <c r="I37" s="2" t="s">
        <v>192</v>
      </c>
      <c r="J37" s="2"/>
    </row>
    <row r="38" spans="1:10">
      <c r="A38" s="2" t="s">
        <v>193</v>
      </c>
      <c r="B38" s="2" t="s">
        <v>177</v>
      </c>
      <c r="C38" s="2" t="s">
        <v>194</v>
      </c>
      <c r="D38" s="2" t="s">
        <v>195</v>
      </c>
      <c r="E38" s="2" t="s">
        <v>196</v>
      </c>
      <c r="F38" s="2" t="s">
        <v>197</v>
      </c>
      <c r="G38" s="2"/>
      <c r="H38" s="11"/>
      <c r="I38" s="2" t="s">
        <v>198</v>
      </c>
      <c r="J38" s="2"/>
    </row>
    <row r="39" spans="1:10">
      <c r="A39" s="2" t="s">
        <v>199</v>
      </c>
      <c r="B39" s="2" t="s">
        <v>200</v>
      </c>
      <c r="C39" s="2" t="s">
        <v>201</v>
      </c>
      <c r="D39" s="2" t="s">
        <v>35</v>
      </c>
      <c r="E39" s="2" t="s">
        <v>202</v>
      </c>
      <c r="F39" s="2" t="s">
        <v>125</v>
      </c>
      <c r="G39" s="2"/>
      <c r="H39" s="11"/>
      <c r="I39" s="2" t="s">
        <v>203</v>
      </c>
      <c r="J39" s="2"/>
    </row>
    <row r="40" spans="1:10">
      <c r="A40" s="2" t="s">
        <v>204</v>
      </c>
      <c r="B40" s="2" t="s">
        <v>200</v>
      </c>
      <c r="C40" s="2" t="s">
        <v>205</v>
      </c>
      <c r="D40" s="2" t="s">
        <v>94</v>
      </c>
      <c r="E40" s="2" t="s">
        <v>206</v>
      </c>
      <c r="F40" s="2" t="s">
        <v>207</v>
      </c>
      <c r="G40" s="2"/>
      <c r="H40" s="11"/>
      <c r="I40" s="2" t="s">
        <v>208</v>
      </c>
      <c r="J40" s="2"/>
    </row>
    <row r="41" spans="1:10">
      <c r="A41" s="2" t="s">
        <v>209</v>
      </c>
      <c r="B41" s="2" t="s">
        <v>200</v>
      </c>
      <c r="C41" s="2" t="s">
        <v>210</v>
      </c>
      <c r="D41" s="2" t="s">
        <v>29</v>
      </c>
      <c r="E41" s="2" t="s">
        <v>211</v>
      </c>
      <c r="F41" s="2" t="s">
        <v>212</v>
      </c>
      <c r="G41" s="2"/>
      <c r="H41" s="11"/>
      <c r="I41" s="2" t="s">
        <v>213</v>
      </c>
      <c r="J41" s="2"/>
    </row>
    <row r="42" spans="1:10">
      <c r="A42" s="2" t="s">
        <v>214</v>
      </c>
      <c r="B42" s="2" t="s">
        <v>200</v>
      </c>
      <c r="C42" s="2" t="s">
        <v>215</v>
      </c>
      <c r="D42" s="2" t="s">
        <v>64</v>
      </c>
      <c r="E42" s="2" t="s">
        <v>216</v>
      </c>
      <c r="F42" s="2" t="s">
        <v>217</v>
      </c>
      <c r="G42" s="2"/>
      <c r="H42" s="11"/>
      <c r="I42" s="2" t="s">
        <v>218</v>
      </c>
      <c r="J42" s="2"/>
    </row>
    <row r="45" spans="1:10">
      <c r="A45" s="3" t="s">
        <v>219</v>
      </c>
    </row>
    <row r="46" spans="1:10">
      <c r="A46" t="s">
        <v>220</v>
      </c>
      <c r="B46" s="3">
        <f>COUNTA(H7:H43)</f>
        <v>0</v>
      </c>
    </row>
    <row r="47" spans="1:10">
      <c r="A47" t="s">
        <v>221</v>
      </c>
      <c r="B47" s="4">
        <f>COUNTIF(H7:H43,"Pass")</f>
        <v>0</v>
      </c>
    </row>
    <row r="48" spans="1:10">
      <c r="A48" t="s">
        <v>222</v>
      </c>
      <c r="B48" s="5">
        <f>COUNTIF(H7:H43,"Fail")</f>
        <v>0</v>
      </c>
    </row>
    <row r="49" spans="1:2">
      <c r="A49" t="s">
        <v>223</v>
      </c>
      <c r="B49" s="6">
        <f>COUNTIF(H7:H43,"Pending")</f>
        <v>0</v>
      </c>
    </row>
    <row r="50" spans="1:2">
      <c r="A50" t="s">
        <v>224</v>
      </c>
      <c r="B50" s="7" t="e">
        <f>B47/B46</f>
        <v>#DIV/0!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topLeftCell="A16" zoomScaleNormal="100" workbookViewId="0">
      <selection activeCell="A6" sqref="A6"/>
    </sheetView>
  </sheetViews>
  <sheetFormatPr defaultColWidth="8.7109375" defaultRowHeight="15"/>
  <cols>
    <col min="1" max="1" width="80" customWidth="1"/>
  </cols>
  <sheetData>
    <row r="1" spans="1:1" ht="17.45">
      <c r="A1" s="8" t="s">
        <v>225</v>
      </c>
    </row>
    <row r="3" spans="1:1">
      <c r="A3" s="3" t="s">
        <v>226</v>
      </c>
    </row>
    <row r="5" spans="1:1">
      <c r="A5" t="s">
        <v>227</v>
      </c>
    </row>
    <row r="6" spans="1:1">
      <c r="A6" t="s">
        <v>228</v>
      </c>
    </row>
    <row r="7" spans="1:1">
      <c r="A7" t="s">
        <v>229</v>
      </c>
    </row>
    <row r="8" spans="1:1">
      <c r="A8" t="s">
        <v>230</v>
      </c>
    </row>
    <row r="9" spans="1:1">
      <c r="A9" t="s">
        <v>231</v>
      </c>
    </row>
    <row r="11" spans="1:1">
      <c r="A11" s="3" t="s">
        <v>232</v>
      </c>
    </row>
    <row r="12" spans="1:1">
      <c r="A12" t="s">
        <v>233</v>
      </c>
    </row>
    <row r="13" spans="1:1">
      <c r="A13" t="s">
        <v>234</v>
      </c>
    </row>
    <row r="14" spans="1:1">
      <c r="A14" t="s">
        <v>235</v>
      </c>
    </row>
    <row r="16" spans="1:1">
      <c r="A16" s="3" t="s">
        <v>236</v>
      </c>
    </row>
    <row r="17" spans="1:1">
      <c r="A17" t="s">
        <v>237</v>
      </c>
    </row>
    <row r="18" spans="1:1">
      <c r="A18" t="s">
        <v>238</v>
      </c>
    </row>
    <row r="19" spans="1:1">
      <c r="A19" t="s">
        <v>239</v>
      </c>
    </row>
    <row r="20" spans="1:1">
      <c r="A20" t="s">
        <v>240</v>
      </c>
    </row>
    <row r="21" spans="1:1">
      <c r="A21" t="s">
        <v>241</v>
      </c>
    </row>
    <row r="22" spans="1:1">
      <c r="A22" t="s">
        <v>242</v>
      </c>
    </row>
    <row r="23" spans="1:1">
      <c r="A23" t="s">
        <v>243</v>
      </c>
    </row>
    <row r="24" spans="1:1">
      <c r="A24" t="s">
        <v>244</v>
      </c>
    </row>
    <row r="26" spans="1:1">
      <c r="A26" t="s">
        <v>245</v>
      </c>
    </row>
    <row r="27" spans="1:1">
      <c r="A27" t="s">
        <v>246</v>
      </c>
    </row>
    <row r="28" spans="1:1">
      <c r="A28" t="s">
        <v>247</v>
      </c>
    </row>
    <row r="30" spans="1:1">
      <c r="A30" s="3" t="s">
        <v>248</v>
      </c>
    </row>
    <row r="31" spans="1:1">
      <c r="A31" t="s">
        <v>249</v>
      </c>
    </row>
    <row r="32" spans="1:1">
      <c r="A32" t="s">
        <v>250</v>
      </c>
    </row>
    <row r="33" spans="1:1">
      <c r="A33" t="s">
        <v>251</v>
      </c>
    </row>
    <row r="34" spans="1:1">
      <c r="A34" t="s">
        <v>252</v>
      </c>
    </row>
    <row r="35" spans="1:1">
      <c r="A35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Dante D'Abramo</cp:lastModifiedBy>
  <cp:revision>0</cp:revision>
  <dcterms:created xsi:type="dcterms:W3CDTF">2026-01-30T22:51:15Z</dcterms:created>
  <dcterms:modified xsi:type="dcterms:W3CDTF">2026-01-30T23:15:05Z</dcterms:modified>
  <cp:category/>
  <cp:contentStatus/>
</cp:coreProperties>
</file>