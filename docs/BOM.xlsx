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" sheetId="1" state="visible" r:id="rId3"/>
    <sheet name="Purchasing Guide" sheetId="2" state="visible" r:id="rId4"/>
    <sheet name="Cost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<sst xmlns="http://schemas.openxmlformats.org/spreadsheetml/2006/main" count="160" uniqueCount="134">
  <si>
    <t xml:space="preserve">Bill of Materials (BOM)</t>
  </si>
  <si>
    <t xml:space="preserve">Project: Arduino R4 WiFi Security System v1.2 (Ultrasonic Only)</t>
  </si>
  <si>
    <t xml:space="preserve">Author: Dante D'Abramo</t>
  </si>
  <si>
    <t xml:space="preserve">Date: 2026-02-01</t>
  </si>
  <si>
    <t xml:space="preserve">Item #</t>
  </si>
  <si>
    <t xml:space="preserve">Component</t>
  </si>
  <si>
    <t xml:space="preserve">Description</t>
  </si>
  <si>
    <t xml:space="preserve">Qty</t>
  </si>
  <si>
    <t xml:space="preserve">Unit Price (USD)</t>
  </si>
  <si>
    <t xml:space="preserve">Total Price (USD)</t>
  </si>
  <si>
    <t xml:space="preserve">Supplier</t>
  </si>
  <si>
    <t xml:space="preserve">Part Number</t>
  </si>
  <si>
    <t xml:space="preserve">Notes</t>
  </si>
  <si>
    <t xml:space="preserve">Status</t>
  </si>
  <si>
    <t xml:space="preserve">Arduino UNO R4 WiFi</t>
  </si>
  <si>
    <t xml:space="preserve">Main microcontroller board with WiFi</t>
  </si>
  <si>
    <t xml:space="preserve">Arduino.cc / Amazon</t>
  </si>
  <si>
    <t xml:space="preserve">ABX00087</t>
  </si>
  <si>
    <t xml:space="preserve">Renesas RA4M1 + ESP32-S3</t>
  </si>
  <si>
    <t xml:space="preserve">Required</t>
  </si>
  <si>
    <t xml:space="preserve">HC-SR04 Ultrasonic Sensor</t>
  </si>
  <si>
    <t xml:space="preserve">Distance measurement sensor</t>
  </si>
  <si>
    <t xml:space="preserve">Amazon / AliExpress</t>
  </si>
  <si>
    <t xml:space="preserve">HC-SR04</t>
  </si>
  <si>
    <t xml:space="preserve">2-400cm range, 5V</t>
  </si>
  <si>
    <t xml:space="preserve">LED 3mm (Green)</t>
  </si>
  <si>
    <t xml:space="preserve">Status indicator LED</t>
  </si>
  <si>
    <t xml:space="preserve">Any electronics supplier</t>
  </si>
  <si>
    <t xml:space="preserve">Generic 3mm</t>
  </si>
  <si>
    <t xml:space="preserve">Any color works</t>
  </si>
  <si>
    <t xml:space="preserve">LED 5mm (Red)</t>
  </si>
  <si>
    <t xml:space="preserve">Alarm indicator LED</t>
  </si>
  <si>
    <t xml:space="preserve">Generic 5mm</t>
  </si>
  <si>
    <t xml:space="preserve">Red recommended</t>
  </si>
  <si>
    <t xml:space="preserve">Active Piezo Buzzer 5V</t>
  </si>
  <si>
    <t xml:space="preserve">Audible alarm buzzer</t>
  </si>
  <si>
    <t xml:space="preserve">Amazon / DigiKey</t>
  </si>
  <si>
    <t xml:space="preserve">Generic 5V Active</t>
  </si>
  <si>
    <t xml:space="preserve">85dB @ 10cm</t>
  </si>
  <si>
    <t xml:space="preserve">Resistor 220Ω 1/4W</t>
  </si>
  <si>
    <t xml:space="preserve">LED current limiting</t>
  </si>
  <si>
    <t xml:space="preserve">Generic 220Ω</t>
  </si>
  <si>
    <t xml:space="preserve">Color: Red-Red-Brown</t>
  </si>
  <si>
    <t xml:space="preserve">Jumper Wires M-M</t>
  </si>
  <si>
    <t xml:space="preserve">Male-to-male jumper wires</t>
  </si>
  <si>
    <t xml:space="preserve">Generic jumpers</t>
  </si>
  <si>
    <t xml:space="preserve">Assorted colors</t>
  </si>
  <si>
    <t xml:space="preserve">Breadboard 830 tie-points</t>
  </si>
  <si>
    <t xml:space="preserve">Solderless breadboard for prototyping</t>
  </si>
  <si>
    <t xml:space="preserve">Amazon / SparkFun</t>
  </si>
  <si>
    <t xml:space="preserve">Generic breadboard</t>
  </si>
  <si>
    <t xml:space="preserve">Half-size or full</t>
  </si>
  <si>
    <t xml:space="preserve">Optional</t>
  </si>
  <si>
    <t xml:space="preserve">USB-C Cable</t>
  </si>
  <si>
    <t xml:space="preserve">Data cable for programming &amp; power</t>
  </si>
  <si>
    <t xml:space="preserve">USB-C data cable</t>
  </si>
  <si>
    <t xml:space="preserve">NOT charge-only</t>
  </si>
  <si>
    <t xml:space="preserve">Project Enclosure</t>
  </si>
  <si>
    <t xml:space="preserve">Plastic project box</t>
  </si>
  <si>
    <t xml:space="preserve">Generic project box</t>
  </si>
  <si>
    <t xml:space="preserve">~150x100x50mm</t>
  </si>
  <si>
    <t xml:space="preserve">Mounting Hardware</t>
  </si>
  <si>
    <t xml:space="preserve">Screws, standoffs, etc.</t>
  </si>
  <si>
    <t xml:space="preserve">Hardware store</t>
  </si>
  <si>
    <t xml:space="preserve">M3 screws/standoffs</t>
  </si>
  <si>
    <t xml:space="preserve">For enclosure mounting</t>
  </si>
  <si>
    <t xml:space="preserve">Required Subtotal:</t>
  </si>
  <si>
    <t xml:space="preserve">Optional Subtotal:</t>
  </si>
  <si>
    <t xml:space="preserve">TOTAL:</t>
  </si>
  <si>
    <t xml:space="preserve">Notes:</t>
  </si>
  <si>
    <t xml:space="preserve">• Prices are estimates and may vary by supplier and location</t>
  </si>
  <si>
    <t xml:space="preserve">• Optional items (breadboard, enclosure) improve project but not required for functionality</t>
  </si>
  <si>
    <t xml:space="preserve">• Arduino R4 WiFi is most expensive component (~$27.50)</t>
  </si>
  <si>
    <t xml:space="preserve">• Total project cost ranges from $36-40 (required only) to $46-50 (with optional items)</t>
  </si>
  <si>
    <t xml:space="preserve">• Jumper wires and resistors often sold in packs (quantities shown are minimum needed)</t>
  </si>
  <si>
    <t xml:space="preserve">• Consider buying component kits for better value</t>
  </si>
  <si>
    <t xml:space="preserve">• Shipping costs not included in estimates</t>
  </si>
  <si>
    <t xml:space="preserve">• PIR sensor removed in v1.2 - ultrasonic only for better reliability</t>
  </si>
  <si>
    <t xml:space="preserve">Component Purchasing Guide</t>
  </si>
  <si>
    <t xml:space="preserve">Recommended Supplier</t>
  </si>
  <si>
    <t xml:space="preserve">Estimated Shipping Time</t>
  </si>
  <si>
    <t xml:space="preserve">Arduino R4 WiFi</t>
  </si>
  <si>
    <t xml:space="preserve">Arduino.cc (Official)</t>
  </si>
  <si>
    <t xml:space="preserve">3-7 days</t>
  </si>
  <si>
    <t xml:space="preserve">Official store, best quality</t>
  </si>
  <si>
    <t xml:space="preserve">Amazon</t>
  </si>
  <si>
    <t xml:space="preserve">1-2 days (Prime)</t>
  </si>
  <si>
    <t xml:space="preserve">Faster delivery, slightly higher price</t>
  </si>
  <si>
    <t xml:space="preserve">DigiKey / Mouser</t>
  </si>
  <si>
    <t xml:space="preserve">2-5 days</t>
  </si>
  <si>
    <t xml:space="preserve">Reliable electronics distributors</t>
  </si>
  <si>
    <t xml:space="preserve">HC-SR04 Ultrasonic</t>
  </si>
  <si>
    <t xml:space="preserve">Good balance of price/speed</t>
  </si>
  <si>
    <t xml:space="preserve">AliExpress</t>
  </si>
  <si>
    <t xml:space="preserve">2-4 weeks</t>
  </si>
  <si>
    <t xml:space="preserve">Cheapest option ($1-2), slow shipping</t>
  </si>
  <si>
    <t xml:space="preserve">SparkFun / Adafruit</t>
  </si>
  <si>
    <t xml:space="preserve">Quality components, good support</t>
  </si>
  <si>
    <t xml:space="preserve">LEDs, Resistors, Wires</t>
  </si>
  <si>
    <t xml:space="preserve">Local electronics store</t>
  </si>
  <si>
    <t xml:space="preserve">Same day</t>
  </si>
  <si>
    <t xml:space="preserve">Support local business</t>
  </si>
  <si>
    <t xml:space="preserve">Convenient, often in kits</t>
  </si>
  <si>
    <t xml:space="preserve">Professional quality</t>
  </si>
  <si>
    <t xml:space="preserve">Complete Kits</t>
  </si>
  <si>
    <t xml:space="preserve">1-2 days</t>
  </si>
  <si>
    <t xml:space="preserve">Search "Arduino starter kit" - includes many components</t>
  </si>
  <si>
    <t xml:space="preserve">Elegoo / LAFVIN</t>
  </si>
  <si>
    <t xml:space="preserve">Popular kit brands with good value</t>
  </si>
  <si>
    <t xml:space="preserve">DIY vs Commercial Security System</t>
  </si>
  <si>
    <t xml:space="preserve">System Type</t>
  </si>
  <si>
    <t xml:space="preserve">Initial Cost</t>
  </si>
  <si>
    <t xml:space="preserve">Monthly Cost</t>
  </si>
  <si>
    <t xml:space="preserve">1-Year Total</t>
  </si>
  <si>
    <t xml:space="preserve">Features</t>
  </si>
  <si>
    <t xml:space="preserve">DIY Arduino (This Project)</t>
  </si>
  <si>
    <t xml:space="preserve">$36-50</t>
  </si>
  <si>
    <t xml:space="preserve">$0</t>
  </si>
  <si>
    <t xml:space="preserve">Custom, educational, no subscription</t>
  </si>
  <si>
    <t xml:space="preserve">Ring Alarm (Entry)</t>
  </si>
  <si>
    <t xml:space="preserve">$200</t>
  </si>
  <si>
    <t xml:space="preserve">$20 (monitoring)</t>
  </si>
  <si>
    <t xml:space="preserve">$440</t>
  </si>
  <si>
    <t xml:space="preserve">Professional monitoring, app</t>
  </si>
  <si>
    <t xml:space="preserve">SimpliSafe (Basic)</t>
  </si>
  <si>
    <t xml:space="preserve">$230</t>
  </si>
  <si>
    <t xml:space="preserve">$18 (monitoring)</t>
  </si>
  <si>
    <t xml:space="preserve">$446</t>
  </si>
  <si>
    <t xml:space="preserve">Professional, cellular backup</t>
  </si>
  <si>
    <t xml:space="preserve">ADT Security (Pro)</t>
  </si>
  <si>
    <t xml:space="preserve">$599</t>
  </si>
  <si>
    <t xml:space="preserve">$50 (monitoring)</t>
  </si>
  <si>
    <t xml:space="preserve">$1,199</t>
  </si>
  <si>
    <t xml:space="preserve">Professional install &amp; monitoring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</si>
</sst>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sz val="10"/>
      <name val="Cambria"/>
      <family val="0"/>
      <charset val="1"/>
    </font>
    <font>
      <b val="true"/>
      <sz val="14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E7E6E6"/>
        <bgColor rgb="FFE2EFDA"/>
      </patternFill>
    </fill>
    <fill>
      <patternFill patternType="solid">
        <fgColor rgb="FFD9E1F2"/>
        <bgColor rgb="FFE7E6E6"/>
      </patternFill>
    </fill>
    <fill>
      <patternFill patternType="solid">
        <fgColor rgb="FFC6EFCE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4" min="4" style="0" width="6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5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F3" s="3" t="s">
        <v>3</v>
      </c>
      <c r="G3" s="3"/>
      <c r="H3" s="3"/>
      <c r="I3" s="3"/>
      <c r="J3" s="3"/>
    </row>
    <row r="5" customFormat="false" ht="28.35" hidden="false" customHeight="fals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</row>
    <row r="6" customFormat="false" ht="15" hidden="false" customHeight="false" outlineLevel="0" collapsed="false">
      <c r="A6" s="5" t="n">
        <v>1</v>
      </c>
      <c r="B6" s="5" t="s">
        <v>14</v>
      </c>
      <c r="C6" s="6" t="s">
        <v>15</v>
      </c>
      <c r="D6" s="5" t="n">
        <v>1</v>
      </c>
      <c r="E6" s="7" t="n">
        <v>27.5</v>
      </c>
      <c r="F6" s="7" t="n">
        <f aca="false">D6*E6</f>
        <v>27.5</v>
      </c>
      <c r="G6" s="5" t="s">
        <v>16</v>
      </c>
      <c r="H6" s="5" t="s">
        <v>17</v>
      </c>
      <c r="I6" s="6" t="s">
        <v>18</v>
      </c>
      <c r="J6" s="8" t="s">
        <v>19</v>
      </c>
    </row>
    <row r="7" customFormat="false" ht="15" hidden="false" customHeight="false" outlineLevel="0" collapsed="false">
      <c r="A7" s="5" t="n">
        <v>2</v>
      </c>
      <c r="B7" s="5" t="s">
        <v>20</v>
      </c>
      <c r="C7" s="6" t="s">
        <v>21</v>
      </c>
      <c r="D7" s="5" t="n">
        <v>1</v>
      </c>
      <c r="E7" s="7" t="n">
        <v>2.5</v>
      </c>
      <c r="F7" s="7" t="n">
        <f aca="false">D7*E7</f>
        <v>2.5</v>
      </c>
      <c r="G7" s="5" t="s">
        <v>22</v>
      </c>
      <c r="H7" s="5" t="s">
        <v>23</v>
      </c>
      <c r="I7" s="6" t="s">
        <v>24</v>
      </c>
      <c r="J7" s="8" t="s">
        <v>19</v>
      </c>
    </row>
    <row r="8" customFormat="false" ht="15" hidden="false" customHeight="false" outlineLevel="0" collapsed="false">
      <c r="A8" s="5" t="n">
        <v>3</v>
      </c>
      <c r="B8" s="5" t="s">
        <v>25</v>
      </c>
      <c r="C8" s="6" t="s">
        <v>26</v>
      </c>
      <c r="D8" s="5" t="n">
        <v>1</v>
      </c>
      <c r="E8" s="7" t="n">
        <v>0.15</v>
      </c>
      <c r="F8" s="7" t="n">
        <f aca="false">D8*E8</f>
        <v>0.15</v>
      </c>
      <c r="G8" s="5" t="s">
        <v>27</v>
      </c>
      <c r="H8" s="5" t="s">
        <v>28</v>
      </c>
      <c r="I8" s="6" t="s">
        <v>29</v>
      </c>
      <c r="J8" s="8" t="s">
        <v>19</v>
      </c>
    </row>
    <row r="9" customFormat="false" ht="15" hidden="false" customHeight="false" outlineLevel="0" collapsed="false">
      <c r="A9" s="5" t="n">
        <v>4</v>
      </c>
      <c r="B9" s="5" t="s">
        <v>30</v>
      </c>
      <c r="C9" s="6" t="s">
        <v>31</v>
      </c>
      <c r="D9" s="5" t="n">
        <v>1</v>
      </c>
      <c r="E9" s="7" t="n">
        <v>0.2</v>
      </c>
      <c r="F9" s="7" t="n">
        <f aca="false">D9*E9</f>
        <v>0.2</v>
      </c>
      <c r="G9" s="5" t="s">
        <v>27</v>
      </c>
      <c r="H9" s="5" t="s">
        <v>32</v>
      </c>
      <c r="I9" s="6" t="s">
        <v>33</v>
      </c>
      <c r="J9" s="8" t="s">
        <v>19</v>
      </c>
    </row>
    <row r="10" customFormat="false" ht="15" hidden="false" customHeight="false" outlineLevel="0" collapsed="false">
      <c r="A10" s="5" t="n">
        <v>5</v>
      </c>
      <c r="B10" s="5" t="s">
        <v>34</v>
      </c>
      <c r="C10" s="6" t="s">
        <v>35</v>
      </c>
      <c r="D10" s="5" t="n">
        <v>1</v>
      </c>
      <c r="E10" s="7" t="n">
        <v>1.5</v>
      </c>
      <c r="F10" s="7" t="n">
        <f aca="false">D10*E10</f>
        <v>1.5</v>
      </c>
      <c r="G10" s="5" t="s">
        <v>36</v>
      </c>
      <c r="H10" s="5" t="s">
        <v>37</v>
      </c>
      <c r="I10" s="6" t="s">
        <v>38</v>
      </c>
      <c r="J10" s="8" t="s">
        <v>19</v>
      </c>
    </row>
    <row r="11" customFormat="false" ht="15" hidden="false" customHeight="false" outlineLevel="0" collapsed="false">
      <c r="A11" s="5" t="n">
        <v>6</v>
      </c>
      <c r="B11" s="5" t="s">
        <v>39</v>
      </c>
      <c r="C11" s="6" t="s">
        <v>40</v>
      </c>
      <c r="D11" s="5" t="n">
        <v>2</v>
      </c>
      <c r="E11" s="7" t="n">
        <v>0.1</v>
      </c>
      <c r="F11" s="7" t="n">
        <f aca="false">D11*E11</f>
        <v>0.2</v>
      </c>
      <c r="G11" s="5" t="s">
        <v>27</v>
      </c>
      <c r="H11" s="5" t="s">
        <v>41</v>
      </c>
      <c r="I11" s="6" t="s">
        <v>42</v>
      </c>
      <c r="J11" s="8" t="s">
        <v>19</v>
      </c>
    </row>
    <row r="12" customFormat="false" ht="15" hidden="false" customHeight="false" outlineLevel="0" collapsed="false">
      <c r="A12" s="5" t="n">
        <v>7</v>
      </c>
      <c r="B12" s="5" t="s">
        <v>43</v>
      </c>
      <c r="C12" s="6" t="s">
        <v>44</v>
      </c>
      <c r="D12" s="5" t="n">
        <v>11</v>
      </c>
      <c r="E12" s="7" t="n">
        <v>0.1</v>
      </c>
      <c r="F12" s="7" t="n">
        <f aca="false">D12*E12</f>
        <v>1.1</v>
      </c>
      <c r="G12" s="5" t="s">
        <v>22</v>
      </c>
      <c r="H12" s="5" t="s">
        <v>45</v>
      </c>
      <c r="I12" s="6" t="s">
        <v>46</v>
      </c>
      <c r="J12" s="8" t="s">
        <v>19</v>
      </c>
    </row>
    <row r="13" customFormat="false" ht="15" hidden="false" customHeight="false" outlineLevel="0" collapsed="false">
      <c r="A13" s="5" t="n">
        <v>8</v>
      </c>
      <c r="B13" s="5" t="s">
        <v>47</v>
      </c>
      <c r="C13" s="6" t="s">
        <v>48</v>
      </c>
      <c r="D13" s="5" t="n">
        <v>1</v>
      </c>
      <c r="E13" s="7" t="n">
        <v>3</v>
      </c>
      <c r="F13" s="7" t="n">
        <f aca="false">D13*E13</f>
        <v>3</v>
      </c>
      <c r="G13" s="5" t="s">
        <v>49</v>
      </c>
      <c r="H13" s="5" t="s">
        <v>50</v>
      </c>
      <c r="I13" s="6" t="s">
        <v>51</v>
      </c>
      <c r="J13" s="9" t="s">
        <v>52</v>
      </c>
    </row>
    <row r="14" customFormat="false" ht="15" hidden="false" customHeight="false" outlineLevel="0" collapsed="false">
      <c r="A14" s="5" t="n">
        <v>9</v>
      </c>
      <c r="B14" s="5" t="s">
        <v>53</v>
      </c>
      <c r="C14" s="6" t="s">
        <v>54</v>
      </c>
      <c r="D14" s="5" t="n">
        <v>1</v>
      </c>
      <c r="E14" s="7" t="n">
        <v>4</v>
      </c>
      <c r="F14" s="7" t="n">
        <f aca="false">D14*E14</f>
        <v>4</v>
      </c>
      <c r="G14" s="5" t="s">
        <v>27</v>
      </c>
      <c r="H14" s="5" t="s">
        <v>55</v>
      </c>
      <c r="I14" s="6" t="s">
        <v>56</v>
      </c>
      <c r="J14" s="8" t="s">
        <v>19</v>
      </c>
    </row>
    <row r="15" customFormat="false" ht="15" hidden="false" customHeight="false" outlineLevel="0" collapsed="false">
      <c r="A15" s="5" t="n">
        <v>10</v>
      </c>
      <c r="B15" s="5" t="s">
        <v>57</v>
      </c>
      <c r="C15" s="6" t="s">
        <v>58</v>
      </c>
      <c r="D15" s="5" t="n">
        <v>1</v>
      </c>
      <c r="E15" s="7" t="n">
        <v>5</v>
      </c>
      <c r="F15" s="7" t="n">
        <f aca="false">D15*E15</f>
        <v>5</v>
      </c>
      <c r="G15" s="5" t="s">
        <v>36</v>
      </c>
      <c r="H15" s="5" t="s">
        <v>59</v>
      </c>
      <c r="I15" s="6" t="s">
        <v>60</v>
      </c>
      <c r="J15" s="9" t="s">
        <v>52</v>
      </c>
    </row>
    <row r="16" customFormat="false" ht="15" hidden="false" customHeight="false" outlineLevel="0" collapsed="false">
      <c r="A16" s="5" t="n">
        <v>11</v>
      </c>
      <c r="B16" s="5" t="s">
        <v>61</v>
      </c>
      <c r="C16" s="6" t="s">
        <v>62</v>
      </c>
      <c r="D16" s="5" t="n">
        <v>1</v>
      </c>
      <c r="E16" s="7" t="n">
        <v>2</v>
      </c>
      <c r="F16" s="7" t="n">
        <f aca="false">D16*E16</f>
        <v>2</v>
      </c>
      <c r="G16" s="5" t="s">
        <v>63</v>
      </c>
      <c r="H16" s="5" t="s">
        <v>64</v>
      </c>
      <c r="I16" s="6" t="s">
        <v>65</v>
      </c>
      <c r="J16" s="9" t="s">
        <v>52</v>
      </c>
    </row>
    <row r="18" customFormat="false" ht="15" hidden="false" customHeight="false" outlineLevel="0" collapsed="false">
      <c r="E18" s="10" t="s">
        <v>66</v>
      </c>
      <c r="F18" s="11" t="n">
        <f aca="false">SUMIF(J6:J16,"Required",F6:F16)</f>
        <v>37.15</v>
      </c>
    </row>
    <row r="19" customFormat="false" ht="15" hidden="false" customHeight="false" outlineLevel="0" collapsed="false">
      <c r="E19" s="10" t="s">
        <v>67</v>
      </c>
      <c r="F19" s="12" t="n">
        <f aca="false">SUMIF(J6:J16,"Optional",F6:F16)</f>
        <v>10</v>
      </c>
    </row>
    <row r="20" customFormat="false" ht="15" hidden="false" customHeight="false" outlineLevel="0" collapsed="false">
      <c r="E20" s="13" t="s">
        <v>68</v>
      </c>
      <c r="F20" s="14" t="n">
        <f aca="false">SUM(F6:F16)</f>
        <v>47.15</v>
      </c>
    </row>
    <row r="22" customFormat="false" ht="15" hidden="false" customHeight="false" outlineLevel="0" collapsed="false">
      <c r="A22" s="15" t="s">
        <v>69</v>
      </c>
    </row>
    <row r="23" customFormat="false" ht="15" hidden="false" customHeight="false" outlineLevel="0" collapsed="false">
      <c r="A23" s="16" t="s">
        <v>70</v>
      </c>
      <c r="B23" s="16"/>
      <c r="C23" s="16"/>
      <c r="D23" s="16"/>
      <c r="E23" s="16"/>
      <c r="F23" s="16"/>
      <c r="G23" s="16"/>
      <c r="H23" s="16"/>
      <c r="I23" s="16"/>
      <c r="J23" s="16"/>
    </row>
    <row r="24" customFormat="false" ht="15" hidden="false" customHeight="false" outlineLevel="0" collapsed="false">
      <c r="A24" s="16" t="s">
        <v>71</v>
      </c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15" hidden="false" customHeight="false" outlineLevel="0" collapsed="false">
      <c r="A25" s="16" t="s">
        <v>72</v>
      </c>
      <c r="B25" s="16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16" t="s">
        <v>73</v>
      </c>
      <c r="B26" s="16"/>
      <c r="C26" s="16"/>
      <c r="D26" s="16"/>
      <c r="E26" s="16"/>
      <c r="F26" s="16"/>
      <c r="G26" s="16"/>
      <c r="H26" s="16"/>
      <c r="I26" s="16"/>
      <c r="J26" s="16"/>
    </row>
    <row r="27" customFormat="false" ht="15" hidden="false" customHeight="false" outlineLevel="0" collapsed="false">
      <c r="A27" s="16" t="s">
        <v>74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false" outlineLevel="0" collapsed="false">
      <c r="A28" s="16" t="s">
        <v>75</v>
      </c>
      <c r="B28" s="16"/>
      <c r="C28" s="16"/>
      <c r="D28" s="16"/>
      <c r="E28" s="16"/>
      <c r="F28" s="16"/>
      <c r="G28" s="16"/>
      <c r="H28" s="16"/>
      <c r="I28" s="16"/>
      <c r="J28" s="16"/>
    </row>
    <row r="29" customFormat="false" ht="15" hidden="false" customHeight="false" outlineLevel="0" collapsed="false">
      <c r="A29" s="16" t="s">
        <v>76</v>
      </c>
      <c r="B29" s="16"/>
      <c r="C29" s="16"/>
      <c r="D29" s="16"/>
      <c r="E29" s="16"/>
      <c r="F29" s="16"/>
      <c r="G29" s="16"/>
      <c r="H29" s="16"/>
      <c r="I29" s="16"/>
      <c r="J29" s="16"/>
    </row>
    <row r="30" customFormat="false" ht="15" hidden="false" customHeight="false" outlineLevel="0" collapsed="false">
      <c r="A30" s="16" t="s">
        <v>77</v>
      </c>
      <c r="B30" s="16"/>
      <c r="C30" s="16"/>
      <c r="D30" s="16"/>
      <c r="E30" s="16"/>
      <c r="F30" s="16"/>
      <c r="G30" s="16"/>
      <c r="H30" s="16"/>
      <c r="I30" s="16"/>
      <c r="J30" s="16"/>
    </row>
  </sheetData>
  <mergeCells count="12">
    <mergeCell ref="A1:J1"/>
    <mergeCell ref="A2:J2"/>
    <mergeCell ref="A3:D3"/>
    <mergeCell ref="F3:J3"/>
    <mergeCell ref="A23:J23"/>
    <mergeCell ref="A24:J24"/>
    <mergeCell ref="A25:J25"/>
    <mergeCell ref="A26:J26"/>
    <mergeCell ref="A27:J27"/>
    <mergeCell ref="A28:J28"/>
    <mergeCell ref="A29:J29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7" t="s">
        <v>78</v>
      </c>
      <c r="B1" s="17"/>
      <c r="C1" s="17"/>
      <c r="D1" s="17"/>
    </row>
    <row r="3" customFormat="false" ht="15" hidden="false" customHeight="false" outlineLevel="0" collapsed="false">
      <c r="A3" s="18" t="s">
        <v>5</v>
      </c>
      <c r="B3" s="18" t="s">
        <v>79</v>
      </c>
      <c r="C3" s="18" t="s">
        <v>80</v>
      </c>
      <c r="D3" s="18" t="s">
        <v>12</v>
      </c>
    </row>
    <row r="4" customFormat="false" ht="15" hidden="false" customHeight="false" outlineLevel="0" collapsed="false">
      <c r="A4" s="0" t="s">
        <v>81</v>
      </c>
      <c r="B4" s="0" t="s">
        <v>82</v>
      </c>
      <c r="C4" s="0" t="s">
        <v>83</v>
      </c>
      <c r="D4" s="0" t="s">
        <v>84</v>
      </c>
    </row>
    <row r="5" customFormat="false" ht="15" hidden="false" customHeight="false" outlineLevel="0" collapsed="false">
      <c r="B5" s="0" t="s">
        <v>85</v>
      </c>
      <c r="C5" s="0" t="s">
        <v>86</v>
      </c>
      <c r="D5" s="0" t="s">
        <v>87</v>
      </c>
    </row>
    <row r="6" customFormat="false" ht="15" hidden="false" customHeight="false" outlineLevel="0" collapsed="false">
      <c r="B6" s="0" t="s">
        <v>88</v>
      </c>
      <c r="C6" s="0" t="s">
        <v>89</v>
      </c>
      <c r="D6" s="0" t="s">
        <v>90</v>
      </c>
    </row>
    <row r="8" customFormat="false" ht="15" hidden="false" customHeight="false" outlineLevel="0" collapsed="false">
      <c r="A8" s="0" t="s">
        <v>91</v>
      </c>
      <c r="B8" s="0" t="s">
        <v>85</v>
      </c>
      <c r="C8" s="0" t="s">
        <v>86</v>
      </c>
      <c r="D8" s="0" t="s">
        <v>92</v>
      </c>
    </row>
    <row r="9" customFormat="false" ht="15" hidden="false" customHeight="false" outlineLevel="0" collapsed="false">
      <c r="B9" s="0" t="s">
        <v>93</v>
      </c>
      <c r="C9" s="0" t="s">
        <v>94</v>
      </c>
      <c r="D9" s="0" t="s">
        <v>95</v>
      </c>
    </row>
    <row r="10" customFormat="false" ht="15" hidden="false" customHeight="false" outlineLevel="0" collapsed="false">
      <c r="B10" s="0" t="s">
        <v>96</v>
      </c>
      <c r="C10" s="0" t="s">
        <v>83</v>
      </c>
      <c r="D10" s="0" t="s">
        <v>97</v>
      </c>
    </row>
    <row r="12" customFormat="false" ht="15" hidden="false" customHeight="false" outlineLevel="0" collapsed="false">
      <c r="A12" s="0" t="s">
        <v>98</v>
      </c>
      <c r="B12" s="0" t="s">
        <v>99</v>
      </c>
      <c r="C12" s="0" t="s">
        <v>100</v>
      </c>
      <c r="D12" s="0" t="s">
        <v>101</v>
      </c>
    </row>
    <row r="13" customFormat="false" ht="15" hidden="false" customHeight="false" outlineLevel="0" collapsed="false">
      <c r="B13" s="0" t="s">
        <v>85</v>
      </c>
      <c r="C13" s="0" t="s">
        <v>86</v>
      </c>
      <c r="D13" s="0" t="s">
        <v>102</v>
      </c>
    </row>
    <row r="14" customFormat="false" ht="15" hidden="false" customHeight="false" outlineLevel="0" collapsed="false">
      <c r="B14" s="0" t="s">
        <v>88</v>
      </c>
      <c r="C14" s="0" t="s">
        <v>89</v>
      </c>
      <c r="D14" s="0" t="s">
        <v>103</v>
      </c>
    </row>
    <row r="16" customFormat="false" ht="15" hidden="false" customHeight="false" outlineLevel="0" collapsed="false">
      <c r="A16" s="0" t="s">
        <v>104</v>
      </c>
      <c r="B16" s="0" t="s">
        <v>85</v>
      </c>
      <c r="C16" s="0" t="s">
        <v>105</v>
      </c>
      <c r="D16" s="0" t="s">
        <v>106</v>
      </c>
    </row>
    <row r="17" customFormat="false" ht="15" hidden="false" customHeight="false" outlineLevel="0" collapsed="false">
      <c r="B17" s="0" t="s">
        <v>107</v>
      </c>
      <c r="C17" s="0" t="s">
        <v>105</v>
      </c>
      <c r="D17" s="0" t="s">
        <v>108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17" t="s">
        <v>109</v>
      </c>
      <c r="B1" s="17"/>
      <c r="C1" s="17"/>
      <c r="D1" s="17"/>
      <c r="E1" s="17"/>
    </row>
    <row r="3" customFormat="false" ht="15" hidden="false" customHeight="false" outlineLevel="0" collapsed="false">
      <c r="A3" s="18" t="s">
        <v>110</v>
      </c>
      <c r="B3" s="18" t="s">
        <v>111</v>
      </c>
      <c r="C3" s="18" t="s">
        <v>112</v>
      </c>
      <c r="D3" s="18" t="s">
        <v>113</v>
      </c>
      <c r="E3" s="18" t="s">
        <v>114</v>
      </c>
    </row>
    <row r="4" customFormat="false" ht="15" hidden="false" customHeight="false" outlineLevel="0" collapsed="false">
      <c r="A4" s="19" t="s">
        <v>115</v>
      </c>
      <c r="B4" s="20" t="s">
        <v>116</v>
      </c>
      <c r="C4" s="20" t="s">
        <v>117</v>
      </c>
      <c r="D4" s="20" t="s">
        <v>116</v>
      </c>
      <c r="E4" s="19" t="s">
        <v>118</v>
      </c>
    </row>
    <row r="5" customFormat="false" ht="15" hidden="false" customHeight="false" outlineLevel="0" collapsed="false">
      <c r="A5" s="0" t="s">
        <v>119</v>
      </c>
      <c r="B5" s="21" t="s">
        <v>120</v>
      </c>
      <c r="C5" s="21" t="s">
        <v>121</v>
      </c>
      <c r="D5" s="21" t="s">
        <v>122</v>
      </c>
      <c r="E5" s="22" t="s">
        <v>123</v>
      </c>
    </row>
    <row r="6" customFormat="false" ht="15" hidden="false" customHeight="false" outlineLevel="0" collapsed="false">
      <c r="A6" s="0" t="s">
        <v>124</v>
      </c>
      <c r="B6" s="21" t="s">
        <v>125</v>
      </c>
      <c r="C6" s="21" t="s">
        <v>126</v>
      </c>
      <c r="D6" s="21" t="s">
        <v>127</v>
      </c>
      <c r="E6" s="22" t="s">
        <v>128</v>
      </c>
    </row>
    <row r="7" customFormat="false" ht="15" hidden="false" customHeight="false" outlineLevel="0" collapsed="false">
      <c r="A7" s="0" t="s">
        <v>129</v>
      </c>
      <c r="B7" s="21" t="s">
        <v>130</v>
      </c>
      <c r="C7" s="21" t="s">
        <v>131</v>
      </c>
      <c r="D7" s="21" t="s">
        <v>132</v>
      </c>
      <c r="E7" s="22" t="s">
        <v>133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2026-02-01T14:57:40Z</dcterms:created>
  <dc:creator>openpyxl</dc:creator>
  <dc:description/>
  <dc:language>en-US</dc:language>
  <cp:lastModifiedBy/>
  <dcterms:modified xsi:type="dcterms:W3CDTF">2026-02-01T14:57:40Z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